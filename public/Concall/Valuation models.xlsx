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othishvijayan/Jyothish /"/>
    </mc:Choice>
  </mc:AlternateContent>
  <xr:revisionPtr revIDLastSave="0" documentId="8_{4D7287CC-159F-AB43-A84E-E45BF068A59E}" xr6:coauthVersionLast="47" xr6:coauthVersionMax="47" xr10:uidLastSave="{00000000-0000-0000-0000-000000000000}"/>
  <bookViews>
    <workbookView xWindow="0" yWindow="620" windowWidth="28800" windowHeight="16240" xr2:uid="{B5EF5FA0-3EB8-6049-825E-AC97D263A38D}"/>
  </bookViews>
  <sheets>
    <sheet name="TITAN LTD" sheetId="1" r:id="rId1"/>
    <sheet name="RELIANCE 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I23" i="2" s="1"/>
  <c r="G22" i="2"/>
  <c r="I22" i="2" s="1"/>
  <c r="G21" i="2"/>
  <c r="I21" i="2" s="1"/>
  <c r="K22" i="1"/>
  <c r="K23" i="1"/>
  <c r="I22" i="1"/>
  <c r="I23" i="1"/>
  <c r="I21" i="1"/>
  <c r="K21" i="1" s="1"/>
  <c r="H17" i="1"/>
  <c r="I17" i="1"/>
  <c r="J17" i="1"/>
  <c r="K17" i="1"/>
  <c r="G17" i="1"/>
  <c r="K13" i="1"/>
  <c r="I13" i="1"/>
  <c r="J13" i="1"/>
  <c r="G12" i="1"/>
  <c r="G13" i="1" s="1"/>
  <c r="K12" i="1"/>
  <c r="H12" i="1"/>
  <c r="H13" i="1" s="1"/>
  <c r="I12" i="1"/>
  <c r="J12" i="1"/>
</calcChain>
</file>

<file path=xl/sharedStrings.xml><?xml version="1.0" encoding="utf-8"?>
<sst xmlns="http://schemas.openxmlformats.org/spreadsheetml/2006/main" count="61" uniqueCount="34">
  <si>
    <t>FY24</t>
  </si>
  <si>
    <t>FY25</t>
  </si>
  <si>
    <t>FY27E</t>
  </si>
  <si>
    <t>FY28E</t>
  </si>
  <si>
    <t>Revenue</t>
  </si>
  <si>
    <t>PBT</t>
  </si>
  <si>
    <t>TAX</t>
  </si>
  <si>
    <t>PAT</t>
  </si>
  <si>
    <t>PAT Margin</t>
  </si>
  <si>
    <t>Column1</t>
  </si>
  <si>
    <t>Column2</t>
  </si>
  <si>
    <t>Column3</t>
  </si>
  <si>
    <t>Column4</t>
  </si>
  <si>
    <t>Column5</t>
  </si>
  <si>
    <t>Column6</t>
  </si>
  <si>
    <t>EBITDA</t>
  </si>
  <si>
    <t>EBITDA Margin</t>
  </si>
  <si>
    <t>FY26E</t>
  </si>
  <si>
    <t xml:space="preserve"> </t>
  </si>
  <si>
    <t xml:space="preserve">Expense </t>
  </si>
  <si>
    <t xml:space="preserve">BEAR CASE </t>
  </si>
  <si>
    <t>BASE CASE</t>
  </si>
  <si>
    <t xml:space="preserve">BULL CASE </t>
  </si>
  <si>
    <t>P/E</t>
  </si>
  <si>
    <t>PAT FY28E</t>
  </si>
  <si>
    <t>MARKET CAP NOW</t>
  </si>
  <si>
    <t xml:space="preserve">POTENTIAL UPSIDE </t>
  </si>
  <si>
    <t xml:space="preserve">CAGR 3 YEAR </t>
  </si>
  <si>
    <t>SCENARIO</t>
  </si>
  <si>
    <t>MARKET CAP AT FY28</t>
  </si>
  <si>
    <t>FY24A</t>
  </si>
  <si>
    <t>FY25A</t>
  </si>
  <si>
    <t xml:space="preserve">Titan Ltd - FY28E </t>
  </si>
  <si>
    <t xml:space="preserve">Financial  Modelling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</si>
</sst>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0" borderId="1" xfId="0" applyFont="1" applyBorder="1"/>
    <xf numFmtId="3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164" fontId="2" fillId="5" borderId="2" xfId="0" applyNumberFormat="1" applyFont="1" applyFill="1" applyBorder="1"/>
    <xf numFmtId="164" fontId="2" fillId="5" borderId="3" xfId="0" applyNumberFormat="1" applyFont="1" applyFill="1" applyBorder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74E82-2438-5540-B9D0-504BB1BBFB85}" name="Table1" displayName="Table1" ref="F8:K17" totalsRowShown="0">
  <autoFilter ref="F8:K17" xr:uid="{AC174E82-2438-5540-B9D0-504BB1BBFB85}"/>
  <tableColumns count="6">
    <tableColumn id="1" xr3:uid="{C181926A-AE71-A34F-A27E-972CA7AC8402}" name="Column1"/>
    <tableColumn id="2" xr3:uid="{B50014BE-1C6B-C04F-9498-CEF0AF46C18A}" name="Column2"/>
    <tableColumn id="3" xr3:uid="{4E830513-1085-CD48-A7D4-29343B4427C4}" name="Column3"/>
    <tableColumn id="4" xr3:uid="{AE31DE44-DA4E-C747-B8AA-C0382286668B}" name="Column4"/>
    <tableColumn id="5" xr3:uid="{71F0A616-55D7-2545-A8E9-E17EE53B665B}" name="Column5"/>
    <tableColumn id="6" xr3:uid="{297BA605-8107-664D-981D-0256A14A7A86}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C2147-B91C-A748-8B7A-E775BC366D59}" name="Table3" displayName="Table3" ref="F20:L23" totalsRowShown="0">
  <autoFilter ref="F20:L23" xr:uid="{973C2147-B91C-A748-8B7A-E775BC366D59}"/>
  <tableColumns count="7">
    <tableColumn id="1" xr3:uid="{506192BD-3E99-1940-B1C1-0CE834D31805}" name="SCENARIO"/>
    <tableColumn id="2" xr3:uid="{D85EE62A-4992-EA4A-B970-9376C35383FE}" name="P/E"/>
    <tableColumn id="3" xr3:uid="{2C022218-9C0C-A14D-AFD1-F9BE1C45E582}" name="PAT FY28E"/>
    <tableColumn id="4" xr3:uid="{BE058F82-7C68-6746-82B6-C1298932922E}" name="MARKET CAP AT FY28">
      <calculatedColumnFormula>H21*G21</calculatedColumnFormula>
    </tableColumn>
    <tableColumn id="5" xr3:uid="{0DEB24E9-F001-2144-92C6-B7015C50E6E2}" name="MARKET CAP NOW"/>
    <tableColumn id="6" xr3:uid="{6F0BABAC-CB56-CC49-A8AE-A237D73C0749}" name="POTENTIAL UPSIDE " dataDxfId="1">
      <calculatedColumnFormula>((I21/J21)-1)*100</calculatedColumnFormula>
    </tableColumn>
    <tableColumn id="7" xr3:uid="{EF18C308-C4EF-4044-A4E7-28FC10DCE7FC}" name="CAGR 3 YEAR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9F6DC6-B97A-E44B-BC24-E7F9E41E2D40}" name="Table356" displayName="Table356" ref="D20:J23" totalsRowShown="0">
  <autoFilter ref="D20:J23" xr:uid="{E29F6DC6-B97A-E44B-BC24-E7F9E41E2D40}"/>
  <tableColumns count="7">
    <tableColumn id="1" xr3:uid="{DE7C90A7-2058-DC48-89FB-05D0861D2D35}" name="SCENARIO"/>
    <tableColumn id="2" xr3:uid="{087B5C0D-BE10-0344-9DAC-7BE25BE4A561}" name="P/E"/>
    <tableColumn id="3" xr3:uid="{43E0242E-B671-F544-9D71-C37B3A8A6BA2}" name="PAT FY28E"/>
    <tableColumn id="4" xr3:uid="{6700A687-11D8-3740-BF17-006F580660F7}" name="MARKET CAP AT FY28">
      <calculatedColumnFormula>F21*E21</calculatedColumnFormula>
    </tableColumn>
    <tableColumn id="5" xr3:uid="{49F12A57-1CD4-C04C-84C1-4B0541DE4971}" name="MARKET CAP NOW"/>
    <tableColumn id="6" xr3:uid="{25195FAE-82EE-0644-8342-7D236DE30E66}" name="POTENTIAL UPSIDE " dataDxfId="0">
      <calculatedColumnFormula>((G21/H21)-1)*100</calculatedColumnFormula>
    </tableColumn>
    <tableColumn id="7" xr3:uid="{6AA689C6-95B3-AB44-85FD-B109060547D4}" name="CAGR 3 YEA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351A-4D1D-6F4D-8FCF-8686C3B94E07}">
  <dimension ref="E4:T23"/>
  <sheetViews>
    <sheetView tabSelected="1" zoomScale="125" workbookViewId="0">
      <selection activeCell="N11" sqref="N11"/>
    </sheetView>
  </sheetViews>
  <sheetFormatPr baseColWidth="10" defaultRowHeight="16" x14ac:dyDescent="0.2"/>
  <cols>
    <col min="5" max="5" width="17.6640625" bestFit="1" customWidth="1"/>
    <col min="6" max="6" width="13.5" bestFit="1" customWidth="1"/>
    <col min="7" max="7" width="14.6640625" bestFit="1" customWidth="1"/>
    <col min="9" max="9" width="12.83203125" customWidth="1"/>
    <col min="10" max="11" width="14.5" customWidth="1"/>
    <col min="12" max="12" width="13.33203125" customWidth="1"/>
    <col min="15" max="15" width="12.83203125" bestFit="1" customWidth="1"/>
    <col min="16" max="16" width="11.1640625" bestFit="1" customWidth="1"/>
    <col min="17" max="17" width="12.1640625" bestFit="1" customWidth="1"/>
    <col min="18" max="18" width="21.33203125" bestFit="1" customWidth="1"/>
    <col min="19" max="19" width="19.33203125" bestFit="1" customWidth="1"/>
    <col min="20" max="20" width="19.83203125" bestFit="1" customWidth="1"/>
    <col min="21" max="21" width="15" bestFit="1" customWidth="1"/>
  </cols>
  <sheetData>
    <row r="4" spans="5:20" x14ac:dyDescent="0.2">
      <c r="G4" s="3" t="s">
        <v>32</v>
      </c>
      <c r="O4" s="3"/>
    </row>
    <row r="5" spans="5:20" x14ac:dyDescent="0.2">
      <c r="I5" t="s">
        <v>18</v>
      </c>
    </row>
    <row r="6" spans="5:20" x14ac:dyDescent="0.2">
      <c r="E6" s="4" t="s">
        <v>33</v>
      </c>
    </row>
    <row r="8" spans="5:20" x14ac:dyDescent="0.2"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</row>
    <row r="9" spans="5:20" x14ac:dyDescent="0.2">
      <c r="G9" t="s">
        <v>30</v>
      </c>
      <c r="H9" t="s">
        <v>31</v>
      </c>
      <c r="I9" t="s">
        <v>17</v>
      </c>
      <c r="J9" t="s">
        <v>2</v>
      </c>
      <c r="K9" t="s">
        <v>3</v>
      </c>
    </row>
    <row r="10" spans="5:20" x14ac:dyDescent="0.2">
      <c r="F10" t="s">
        <v>4</v>
      </c>
      <c r="G10" s="1">
        <v>51084</v>
      </c>
      <c r="H10" s="1">
        <v>60456</v>
      </c>
      <c r="I10" s="1">
        <v>74496</v>
      </c>
      <c r="J10">
        <v>84776</v>
      </c>
      <c r="K10">
        <v>98561</v>
      </c>
      <c r="P10" s="1"/>
      <c r="Q10" s="1"/>
      <c r="R10" s="1"/>
    </row>
    <row r="11" spans="5:20" x14ac:dyDescent="0.2">
      <c r="F11" t="s">
        <v>19</v>
      </c>
      <c r="G11">
        <v>45792</v>
      </c>
      <c r="H11">
        <v>54762</v>
      </c>
      <c r="I11">
        <v>66755</v>
      </c>
      <c r="J11">
        <v>75685</v>
      </c>
      <c r="K11">
        <v>87835</v>
      </c>
    </row>
    <row r="12" spans="5:20" x14ac:dyDescent="0.2">
      <c r="F12" t="s">
        <v>15</v>
      </c>
      <c r="G12">
        <f>G10-G11</f>
        <v>5292</v>
      </c>
      <c r="H12">
        <f t="shared" ref="H12:J12" si="0">H10-H11</f>
        <v>5694</v>
      </c>
      <c r="I12">
        <f t="shared" si="0"/>
        <v>7741</v>
      </c>
      <c r="J12">
        <f t="shared" si="0"/>
        <v>9091</v>
      </c>
      <c r="K12">
        <f>K10-K11</f>
        <v>10726</v>
      </c>
    </row>
    <row r="13" spans="5:20" x14ac:dyDescent="0.2">
      <c r="F13" t="s">
        <v>16</v>
      </c>
      <c r="G13" s="2">
        <f>(G12/G10)*100</f>
        <v>10.359408033826638</v>
      </c>
      <c r="H13" s="2">
        <f t="shared" ref="H13:K13" si="1">(H12/H10)*100</f>
        <v>9.4184200079396589</v>
      </c>
      <c r="I13" s="2">
        <f t="shared" si="1"/>
        <v>10.391161941580757</v>
      </c>
      <c r="J13" s="2">
        <f t="shared" si="1"/>
        <v>10.72355383599132</v>
      </c>
      <c r="K13" s="2">
        <f t="shared" si="1"/>
        <v>10.882600622964459</v>
      </c>
      <c r="P13" s="2"/>
      <c r="Q13" s="2"/>
      <c r="R13" s="2"/>
      <c r="S13" s="2"/>
      <c r="T13" s="2"/>
    </row>
    <row r="14" spans="5:20" x14ac:dyDescent="0.2">
      <c r="F14" t="s">
        <v>5</v>
      </c>
      <c r="G14">
        <v>4623</v>
      </c>
      <c r="H14">
        <v>4535</v>
      </c>
      <c r="I14">
        <v>4750</v>
      </c>
      <c r="J14">
        <v>5720</v>
      </c>
      <c r="K14">
        <v>6997</v>
      </c>
    </row>
    <row r="15" spans="5:20" x14ac:dyDescent="0.2">
      <c r="F15" t="s">
        <v>6</v>
      </c>
      <c r="G15">
        <v>24</v>
      </c>
      <c r="H15">
        <v>26</v>
      </c>
      <c r="I15">
        <v>25</v>
      </c>
      <c r="J15">
        <v>25</v>
      </c>
      <c r="K15">
        <v>25</v>
      </c>
    </row>
    <row r="16" spans="5:20" x14ac:dyDescent="0.2">
      <c r="F16" t="s">
        <v>7</v>
      </c>
      <c r="G16">
        <v>3496</v>
      </c>
      <c r="H16">
        <v>3337</v>
      </c>
      <c r="I16">
        <v>4750</v>
      </c>
      <c r="J16">
        <v>5720</v>
      </c>
      <c r="K16">
        <v>6997</v>
      </c>
    </row>
    <row r="17" spans="6:20" x14ac:dyDescent="0.2">
      <c r="F17" t="s">
        <v>8</v>
      </c>
      <c r="G17" s="2">
        <f>(G16/G10)*100</f>
        <v>6.843630099444054</v>
      </c>
      <c r="H17" s="2">
        <f t="shared" ref="H17:K17" si="2">(H16/H10)*100</f>
        <v>5.519716818843456</v>
      </c>
      <c r="I17" s="2">
        <f t="shared" si="2"/>
        <v>6.3761812714776624</v>
      </c>
      <c r="J17" s="2">
        <f t="shared" si="2"/>
        <v>6.7471926016797203</v>
      </c>
      <c r="K17" s="2">
        <f t="shared" si="2"/>
        <v>7.0991568673207457</v>
      </c>
      <c r="P17" s="2"/>
      <c r="Q17" s="2"/>
      <c r="R17" s="2"/>
      <c r="S17" s="2"/>
      <c r="T17" s="2"/>
    </row>
    <row r="20" spans="6:20" x14ac:dyDescent="0.2">
      <c r="F20" t="s">
        <v>28</v>
      </c>
      <c r="G20" t="s">
        <v>23</v>
      </c>
      <c r="H20" t="s">
        <v>24</v>
      </c>
      <c r="I20" t="s">
        <v>29</v>
      </c>
      <c r="J20" t="s">
        <v>25</v>
      </c>
      <c r="K20" t="s">
        <v>26</v>
      </c>
      <c r="L20" t="s">
        <v>27</v>
      </c>
    </row>
    <row r="21" spans="6:20" x14ac:dyDescent="0.2">
      <c r="F21" t="s">
        <v>20</v>
      </c>
      <c r="G21">
        <v>57</v>
      </c>
      <c r="H21">
        <v>6997</v>
      </c>
      <c r="I21">
        <f>H21*G21</f>
        <v>398829</v>
      </c>
      <c r="J21">
        <v>341505</v>
      </c>
      <c r="K21" s="5">
        <f>((I21/J21)-1)*100</f>
        <v>16.785698598849219</v>
      </c>
      <c r="L21">
        <v>5.22</v>
      </c>
      <c r="T21" s="5"/>
    </row>
    <row r="22" spans="6:20" x14ac:dyDescent="0.2">
      <c r="F22" t="s">
        <v>21</v>
      </c>
      <c r="G22">
        <v>70</v>
      </c>
      <c r="H22">
        <v>6997</v>
      </c>
      <c r="I22">
        <f t="shared" ref="I22:I23" si="3">H22*G22</f>
        <v>489790</v>
      </c>
      <c r="J22">
        <v>341505</v>
      </c>
      <c r="K22" s="5">
        <f t="shared" ref="K22:K23" si="4">((I22/J22)-1)*100</f>
        <v>43.421033367007801</v>
      </c>
      <c r="L22">
        <v>12.66</v>
      </c>
      <c r="T22" s="5"/>
    </row>
    <row r="23" spans="6:20" x14ac:dyDescent="0.2">
      <c r="F23" t="s">
        <v>22</v>
      </c>
      <c r="G23">
        <v>90</v>
      </c>
      <c r="H23">
        <v>6997</v>
      </c>
      <c r="I23">
        <f t="shared" si="3"/>
        <v>629730</v>
      </c>
      <c r="J23">
        <v>341505</v>
      </c>
      <c r="K23" s="5">
        <f t="shared" si="4"/>
        <v>84.398471471867182</v>
      </c>
      <c r="L23">
        <v>22.54</v>
      </c>
      <c r="T23" s="5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2545-9CFF-7347-B9E7-4A8116F177BE}">
  <dimension ref="D6:J23"/>
  <sheetViews>
    <sheetView topLeftCell="A2" zoomScale="150" workbookViewId="0">
      <selection activeCell="B15" sqref="B15"/>
    </sheetView>
  </sheetViews>
  <sheetFormatPr baseColWidth="10" defaultRowHeight="16" x14ac:dyDescent="0.2"/>
  <cols>
    <col min="4" max="4" width="12.83203125" bestFit="1" customWidth="1"/>
  </cols>
  <sheetData>
    <row r="6" spans="4:9" x14ac:dyDescent="0.2">
      <c r="D6" s="6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8" t="s">
        <v>14</v>
      </c>
    </row>
    <row r="7" spans="4:9" x14ac:dyDescent="0.2">
      <c r="D7" s="9"/>
      <c r="E7" s="10" t="s">
        <v>0</v>
      </c>
      <c r="F7" s="10" t="s">
        <v>1</v>
      </c>
      <c r="G7" s="10" t="s">
        <v>17</v>
      </c>
      <c r="H7" s="10" t="s">
        <v>2</v>
      </c>
      <c r="I7" s="11" t="s">
        <v>3</v>
      </c>
    </row>
    <row r="8" spans="4:9" x14ac:dyDescent="0.2">
      <c r="D8" s="12" t="s">
        <v>4</v>
      </c>
      <c r="E8" s="13">
        <v>899041</v>
      </c>
      <c r="F8" s="13">
        <v>962820</v>
      </c>
      <c r="G8" s="13">
        <v>1068730</v>
      </c>
      <c r="H8" s="14">
        <v>1186290</v>
      </c>
      <c r="I8" s="15">
        <v>1316781.93</v>
      </c>
    </row>
    <row r="9" spans="4:9" x14ac:dyDescent="0.2">
      <c r="D9" s="9" t="s">
        <v>19</v>
      </c>
      <c r="E9" s="10">
        <v>736543</v>
      </c>
      <c r="F9" s="10">
        <v>797222</v>
      </c>
      <c r="G9" s="10"/>
      <c r="H9" s="10"/>
      <c r="I9" s="11"/>
    </row>
    <row r="10" spans="4:9" x14ac:dyDescent="0.2">
      <c r="D10" s="12" t="s">
        <v>15</v>
      </c>
      <c r="E10" s="14">
        <v>162498</v>
      </c>
      <c r="F10" s="14">
        <v>165598</v>
      </c>
      <c r="G10" s="14"/>
      <c r="H10" s="14"/>
      <c r="I10" s="15"/>
    </row>
    <row r="11" spans="4:9" x14ac:dyDescent="0.2">
      <c r="D11" s="9" t="s">
        <v>16</v>
      </c>
      <c r="E11" s="16"/>
      <c r="F11" s="16"/>
      <c r="G11" s="16"/>
      <c r="H11" s="16"/>
      <c r="I11" s="17"/>
    </row>
    <row r="12" spans="4:9" x14ac:dyDescent="0.2">
      <c r="D12" s="12" t="s">
        <v>5</v>
      </c>
      <c r="E12" s="14"/>
      <c r="F12" s="14"/>
      <c r="G12" s="14"/>
      <c r="H12" s="14"/>
      <c r="I12" s="15"/>
    </row>
    <row r="13" spans="4:9" x14ac:dyDescent="0.2">
      <c r="D13" s="9" t="s">
        <v>6</v>
      </c>
      <c r="E13" s="10"/>
      <c r="F13" s="10"/>
      <c r="G13" s="10"/>
      <c r="H13" s="10"/>
      <c r="I13" s="11"/>
    </row>
    <row r="14" spans="4:9" x14ac:dyDescent="0.2">
      <c r="D14" s="12" t="s">
        <v>7</v>
      </c>
      <c r="E14" s="14"/>
      <c r="F14" s="14"/>
      <c r="G14" s="14"/>
      <c r="H14" s="14"/>
      <c r="I14" s="15"/>
    </row>
    <row r="15" spans="4:9" x14ac:dyDescent="0.2">
      <c r="D15" s="9" t="s">
        <v>8</v>
      </c>
      <c r="E15" s="16"/>
      <c r="F15" s="16"/>
      <c r="G15" s="16"/>
      <c r="H15" s="16"/>
      <c r="I15" s="17">
        <v>97441.79</v>
      </c>
    </row>
    <row r="20" spans="4:10" x14ac:dyDescent="0.2">
      <c r="D20" t="s">
        <v>28</v>
      </c>
      <c r="E20" t="s">
        <v>23</v>
      </c>
      <c r="F20" t="s">
        <v>24</v>
      </c>
      <c r="G20" t="s">
        <v>29</v>
      </c>
      <c r="H20" t="s">
        <v>25</v>
      </c>
      <c r="I20" t="s">
        <v>26</v>
      </c>
      <c r="J20" t="s">
        <v>27</v>
      </c>
    </row>
    <row r="21" spans="4:10" x14ac:dyDescent="0.2">
      <c r="D21" t="s">
        <v>20</v>
      </c>
      <c r="E21">
        <v>21</v>
      </c>
      <c r="F21" s="17">
        <v>97441.79</v>
      </c>
      <c r="G21">
        <f>F21*E21</f>
        <v>2046277.5899999999</v>
      </c>
      <c r="H21">
        <v>2056123</v>
      </c>
      <c r="I21" s="5">
        <f>((G21/H21)-1)*100</f>
        <v>-0.47883370790561264</v>
      </c>
    </row>
    <row r="22" spans="4:10" x14ac:dyDescent="0.2">
      <c r="D22" t="s">
        <v>21</v>
      </c>
      <c r="E22">
        <v>25</v>
      </c>
      <c r="F22" s="17">
        <v>97441.79</v>
      </c>
      <c r="G22">
        <f t="shared" ref="G22:G23" si="0">F22*E22</f>
        <v>2436044.75</v>
      </c>
      <c r="H22">
        <v>2056123</v>
      </c>
      <c r="I22" s="5">
        <f t="shared" ref="I22:I23" si="1">((G22/H22)-1)*100</f>
        <v>18.477578919159999</v>
      </c>
    </row>
    <row r="23" spans="4:10" x14ac:dyDescent="0.2">
      <c r="D23" t="s">
        <v>22</v>
      </c>
      <c r="E23">
        <v>30</v>
      </c>
      <c r="F23" s="17">
        <v>97441.79</v>
      </c>
      <c r="G23">
        <f t="shared" si="0"/>
        <v>2923253.6999999997</v>
      </c>
      <c r="H23">
        <v>2056123</v>
      </c>
      <c r="I23" s="5">
        <f t="shared" si="1"/>
        <v>42.173094702991975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4E0D-10DA-2446-9D1E-922313E3330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 LTD</vt:lpstr>
      <vt:lpstr>RELIANCE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Research</cp:lastModifiedBy>
  <dcterms:created xsi:type="dcterms:W3CDTF">2025-11-18T04:36:17Z</dcterms:created>
  <dcterms:modified xsi:type="dcterms:W3CDTF">2025-11-19T04:11:23Z</dcterms:modified>
</cp:coreProperties>
</file>